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2" i="1" l="1"/>
  <c r="H32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7" i="1"/>
  <c r="E32" i="1"/>
  <c r="C32" i="1"/>
  <c r="D32" i="1"/>
  <c r="F32" i="1" l="1"/>
</calcChain>
</file>

<file path=xl/sharedStrings.xml><?xml version="1.0" encoding="utf-8"?>
<sst xmlns="http://schemas.openxmlformats.org/spreadsheetml/2006/main" count="132" uniqueCount="74">
  <si>
    <t>លរ</t>
  </si>
  <si>
    <t>ឈ្មោះខេត្ត</t>
  </si>
  <si>
    <t>ប្រភពទឹក</t>
  </si>
  <si>
    <t>ផ្សេងៗ</t>
  </si>
  <si>
    <t>​</t>
  </si>
  <si>
    <t>បន្ទាយមានជ័យ</t>
  </si>
  <si>
    <t>បាត់ដំបង</t>
  </si>
  <si>
    <t>ពោធិសាត់</t>
  </si>
  <si>
    <t>កំពង់ឆ្នាំង</t>
  </si>
  <si>
    <t>កំពង់ចាម</t>
  </si>
  <si>
    <t>កំពង់ធំ</t>
  </si>
  <si>
    <t>សៀមរាប</t>
  </si>
  <si>
    <t>ឧត្តរមានជ័យ</t>
  </si>
  <si>
    <t>ព្រះវិហារ</t>
  </si>
  <si>
    <t>ក្រចេះ</t>
  </si>
  <si>
    <t>ស្ទឹងត្រែង</t>
  </si>
  <si>
    <t>រតនគីរី</t>
  </si>
  <si>
    <t>មណ្ឌលគីរី</t>
  </si>
  <si>
    <t>ត្បូងឃ្មុំ</t>
  </si>
  <si>
    <t>ព្រៃវែង</t>
  </si>
  <si>
    <t>ស្វាយរៀង</t>
  </si>
  <si>
    <t>តាកែវ</t>
  </si>
  <si>
    <t>កំពង់ស្ពឺ</t>
  </si>
  <si>
    <t>កំពត</t>
  </si>
  <si>
    <t>កែប</t>
  </si>
  <si>
    <t>ព្រះសីហនុ</t>
  </si>
  <si>
    <t>កោះកុង</t>
  </si>
  <si>
    <t>កណ្តាល</t>
  </si>
  <si>
    <t>ប៉ៃលិន</t>
  </si>
  <si>
    <t>សរុប</t>
  </si>
  <si>
    <t>រាជធានីភ្នំពេញ</t>
  </si>
  <si>
    <t>អាងទឹក និងស្ទឹង</t>
  </si>
  <si>
    <t>ទីតាំងឆ្ងាយពីប្រភពទឹក</t>
  </si>
  <si>
    <t>ទឹកភ្លៀង ស្ទឹង</t>
  </si>
  <si>
    <t>ផ្ទៃដីប៉ះពាល់(ហត)</t>
  </si>
  <si>
    <t>ទីតាំងឆ្ងាយពីប្រភពទឹក គ្មានប្រឡាយ</t>
  </si>
  <si>
    <t xml:space="preserve"> </t>
  </si>
  <si>
    <t xml:space="preserve">         បានឃើញ និងឯកភាព</t>
  </si>
  <si>
    <t xml:space="preserve">                   អ្នកធ្វើតារាង​</t>
  </si>
  <si>
    <t xml:space="preserve">    អគ្គនាយកកិច្ចការបច្ចេកទេស</t>
  </si>
  <si>
    <t>ប្រភពទឹករីង ស្រូវពុំទាន់ខូចដោយមានភ្លៀង</t>
  </si>
  <si>
    <t>អូរដូនតា</t>
  </si>
  <si>
    <t>មិនទាន់មានផលប៉ះពាល់</t>
  </si>
  <si>
    <t>ឈុន ពុទ្ធារិទ្ធ</t>
  </si>
  <si>
    <t xml:space="preserve">                           ហៀង ម៉េង</t>
  </si>
  <si>
    <t>ព្រះរាជាណាចក្រកម្ពុជា
ជាតិ សាសនា ព្រះមហាក្សត្រ</t>
  </si>
  <si>
    <t>ក្រសួងធនធានទឹក និងឧតុនិយម
អគ្គនាយកដ្ឋានកិច្ចការបច្ចេកទេស</t>
  </si>
  <si>
    <t>អូរ និងទឹកភ្លៀង</t>
  </si>
  <si>
    <t>ផ្ទៃដី(ហត)</t>
  </si>
  <si>
    <t>ផែនការ</t>
  </si>
  <si>
    <t>អនុវត្តបាន</t>
  </si>
  <si>
    <t>លើសផែនការ</t>
  </si>
  <si>
    <t>ភាគរយ
អនុវត្តបាន</t>
  </si>
  <si>
    <t>​2,500</t>
  </si>
  <si>
    <t>រាជធានីភ្នំពេញ ថ្ងៃទី ២៣  ខែ កក្កដា  ឆ្នាំ ២០២៦</t>
  </si>
  <si>
    <t>អាងទឹក និងទឹកភ្លៀង</t>
  </si>
  <si>
    <t>ប្រឡាយ និងបឺង</t>
  </si>
  <si>
    <t xml:space="preserve">ព្រែក និងប្រឡាយ </t>
  </si>
  <si>
    <t>ផ្ទៃដីអន្តរាគមន៏
(ហត)</t>
  </si>
  <si>
    <t>ផ្ទៃដីអន្តរាគមន៏សង្រ្គោះបាន(ហត)</t>
  </si>
  <si>
    <t>​117,508</t>
  </si>
  <si>
    <t>មានភ្លៀងមិនទាន់មានផលប៉ះពាល់</t>
  </si>
  <si>
    <t>តារាងទិន្នន័យការងារបង្កបង្កើនផលស្រូវរដូវវស្សា និងផលប៉ះពាល់ដោយគ្រោះរាំងស្ងួតឆ្នាំ២០២៦ (គិតត្រឹមថ្ងៃទី២៦ខែកក្កដា ឆ្នាំ២០២៦)</t>
  </si>
  <si>
    <t>មានទឹកគ្រប់គ្រាន់</t>
  </si>
  <si>
    <t>មានភ្លៀង</t>
  </si>
  <si>
    <t>មានភ្លៀងនិងបង្ហូរពីទំនប់</t>
  </si>
  <si>
    <t xml:space="preserve"> 54,23%</t>
  </si>
  <si>
    <t>មានទឹកមិនទាន់មានផលប៉ះពាល់</t>
  </si>
  <si>
    <t>បន្ត21,794មិនទាន់មានការខូចខាត</t>
  </si>
  <si>
    <t>ភ្លៀងទំនប់៣និង៥</t>
  </si>
  <si>
    <t>ស្ថានីយ៏៣៩​</t>
  </si>
  <si>
    <t xml:space="preserve">កំពុងសង្រ្គោះ </t>
  </si>
  <si>
    <t>បូមសង្រ្គោះមិនមានខូចខាត</t>
  </si>
  <si>
    <t>សូមបញ្ជាក់ជូនះ​ចាប់ពីថ្ងៃទី ២៤ខែកក្គដាឆ្នាំ២០២៦ មក ភ្លៀងបានធ្លាក់រាយប៉ាយស្ទើរគ្រប់ ក្រុង ស្រុក រាជធានី ខេត្ត ដូចនេះផលប៉ះពាល់ដោយគ្រោះរាំងស្ងួតស្ទើរតែលែងជាបញ្ហាហើយ។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</si>
</sst>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2000453]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Khmer OS"/>
    </font>
    <font>
      <sz val="11"/>
      <color theme="1"/>
      <name val="Calibri"/>
      <family val="2"/>
      <scheme val="minor"/>
    </font>
    <font>
      <sz val="11"/>
      <color theme="1"/>
      <name val="Khmer OS"/>
    </font>
    <font>
      <sz val="12"/>
      <color theme="1"/>
      <name val="Khmer OS Siemreap"/>
    </font>
    <font>
      <b/>
      <sz val="12"/>
      <color theme="1"/>
      <name val="Khmer OS Siemreap"/>
    </font>
    <font>
      <b/>
      <sz val="11"/>
      <color theme="1"/>
      <name val="Khmer OS Siemreap"/>
    </font>
    <font>
      <sz val="11"/>
      <color theme="1"/>
      <name val="Khmer OS Muol Light"/>
    </font>
    <font>
      <sz val="12"/>
      <color theme="1"/>
      <name val="Khmer OS Muol Light"/>
    </font>
    <font>
      <sz val="14"/>
      <color theme="1"/>
      <name val="Khmer OS Muol Light"/>
    </font>
    <font>
      <sz val="10"/>
      <color theme="1"/>
      <name val="Khmer OS Siemreap"/>
    </font>
    <font>
      <sz val="11"/>
      <color theme="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5" fillId="2" borderId="1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10" fontId="5" fillId="2" borderId="1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view="pageBreakPreview" topLeftCell="A10" zoomScale="80" zoomScaleNormal="80" zoomScaleSheetLayoutView="80" workbookViewId="0">
      <selection activeCell="K16" sqref="K16"/>
    </sheetView>
  </sheetViews>
  <sheetFormatPr defaultRowHeight="15" x14ac:dyDescent="0.25"/>
  <cols>
    <col min="1" max="1" width="7.140625" customWidth="1"/>
    <col min="2" max="2" width="17.28515625" customWidth="1"/>
    <col min="3" max="3" width="17.5703125" customWidth="1"/>
    <col min="4" max="4" width="20.7109375" customWidth="1"/>
    <col min="5" max="5" width="21.28515625" customWidth="1"/>
    <col min="6" max="6" width="19.85546875" customWidth="1"/>
    <col min="7" max="7" width="20.85546875" customWidth="1"/>
    <col min="8" max="8" width="20.5703125" customWidth="1"/>
    <col min="9" max="9" width="25.28515625" customWidth="1"/>
    <col min="10" max="10" width="16.85546875" customWidth="1"/>
    <col min="11" max="11" width="36.85546875" customWidth="1"/>
  </cols>
  <sheetData>
    <row r="1" spans="1:11" ht="57.95" customHeight="1" x14ac:dyDescent="0.8">
      <c r="A1" s="22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66" customHeight="1" x14ac:dyDescent="0.8">
      <c r="A2" s="24" t="s">
        <v>46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2.6" customHeight="1" x14ac:dyDescent="0.8">
      <c r="A3" s="9"/>
      <c r="B3" s="8"/>
      <c r="C3" s="8"/>
      <c r="D3" s="8"/>
      <c r="E3" s="8"/>
      <c r="F3" s="8"/>
      <c r="G3" s="8"/>
      <c r="H3" s="8"/>
      <c r="I3" s="20"/>
      <c r="J3" s="8"/>
      <c r="K3" s="8"/>
    </row>
    <row r="4" spans="1:11" ht="35.450000000000003" customHeight="1" x14ac:dyDescent="0.25">
      <c r="A4" s="21" t="s">
        <v>62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25.5" customHeight="1" x14ac:dyDescent="0.7">
      <c r="A5" s="28" t="s">
        <v>0</v>
      </c>
      <c r="B5" s="30" t="s">
        <v>1</v>
      </c>
      <c r="C5" s="31" t="s">
        <v>48</v>
      </c>
      <c r="D5" s="31"/>
      <c r="E5" s="31"/>
      <c r="F5" s="32" t="s">
        <v>52</v>
      </c>
      <c r="G5" s="32" t="s">
        <v>34</v>
      </c>
      <c r="H5" s="32" t="s">
        <v>58</v>
      </c>
      <c r="I5" s="32" t="s">
        <v>59</v>
      </c>
      <c r="J5" s="28" t="s">
        <v>2</v>
      </c>
      <c r="K5" s="28" t="s">
        <v>3</v>
      </c>
    </row>
    <row r="6" spans="1:11" ht="25.5" customHeight="1" x14ac:dyDescent="0.7">
      <c r="A6" s="29"/>
      <c r="B6" s="30"/>
      <c r="C6" s="14" t="s">
        <v>49</v>
      </c>
      <c r="D6" s="14" t="s">
        <v>50</v>
      </c>
      <c r="E6" s="14" t="s">
        <v>51</v>
      </c>
      <c r="F6" s="29"/>
      <c r="G6" s="33"/>
      <c r="H6" s="33"/>
      <c r="I6" s="33"/>
      <c r="J6" s="29"/>
      <c r="K6" s="29"/>
    </row>
    <row r="7" spans="1:11" ht="27.75" x14ac:dyDescent="0.85">
      <c r="A7" s="1">
        <v>1</v>
      </c>
      <c r="B7" s="3" t="s">
        <v>5</v>
      </c>
      <c r="C7" s="4">
        <v>290300</v>
      </c>
      <c r="D7" s="4">
        <v>266115</v>
      </c>
      <c r="E7" s="4"/>
      <c r="F7" s="16">
        <f>D7/C7</f>
        <v>0.91668963141577675</v>
      </c>
      <c r="G7" s="4">
        <v>3474</v>
      </c>
      <c r="H7" s="4">
        <v>3474</v>
      </c>
      <c r="I7" s="4">
        <v>3350</v>
      </c>
      <c r="J7" s="3" t="s">
        <v>33</v>
      </c>
      <c r="K7" s="3" t="s">
        <v>72</v>
      </c>
    </row>
    <row r="8" spans="1:11" ht="27.75" x14ac:dyDescent="0.85">
      <c r="A8" s="1">
        <v>2</v>
      </c>
      <c r="B8" s="3" t="s">
        <v>6</v>
      </c>
      <c r="C8" s="4">
        <v>456000</v>
      </c>
      <c r="D8" s="4">
        <v>296916</v>
      </c>
      <c r="E8" s="3" t="s">
        <v>36</v>
      </c>
      <c r="F8" s="16">
        <f t="shared" ref="F8:F31" si="0">D8/C8</f>
        <v>0.65113157894736839</v>
      </c>
      <c r="G8" s="4" t="s">
        <v>60</v>
      </c>
      <c r="H8" s="4">
        <v>19800</v>
      </c>
      <c r="I8" s="4">
        <v>66823</v>
      </c>
      <c r="J8" s="3" t="s">
        <v>31</v>
      </c>
      <c r="K8" s="3" t="s">
        <v>32</v>
      </c>
    </row>
    <row r="9" spans="1:11" ht="27.75" x14ac:dyDescent="0.85">
      <c r="A9" s="1">
        <v>3</v>
      </c>
      <c r="B9" s="3" t="s">
        <v>7</v>
      </c>
      <c r="C9" s="4">
        <v>136000</v>
      </c>
      <c r="D9" s="4">
        <v>137576</v>
      </c>
      <c r="E9" s="4">
        <v>1576</v>
      </c>
      <c r="F9" s="16">
        <f t="shared" si="0"/>
        <v>1.0115882352941177</v>
      </c>
      <c r="G9" s="4">
        <v>46783</v>
      </c>
      <c r="H9" s="4">
        <v>24989</v>
      </c>
      <c r="I9" s="4"/>
      <c r="J9" s="3" t="s">
        <v>69</v>
      </c>
      <c r="K9" s="3" t="s">
        <v>68</v>
      </c>
    </row>
    <row r="10" spans="1:11" ht="27.75" x14ac:dyDescent="0.85">
      <c r="A10" s="1">
        <v>4</v>
      </c>
      <c r="B10" s="3" t="s">
        <v>8</v>
      </c>
      <c r="C10" s="4">
        <v>145000</v>
      </c>
      <c r="D10" s="4">
        <v>122180</v>
      </c>
      <c r="E10" s="3" t="s">
        <v>36</v>
      </c>
      <c r="F10" s="16">
        <f t="shared" si="0"/>
        <v>0.84262068965517245</v>
      </c>
      <c r="G10" s="4">
        <v>4550</v>
      </c>
      <c r="H10" s="3"/>
      <c r="I10" s="3"/>
      <c r="J10" s="3"/>
      <c r="K10" s="3" t="s">
        <v>42</v>
      </c>
    </row>
    <row r="11" spans="1:11" ht="27.75" x14ac:dyDescent="0.85">
      <c r="A11" s="1">
        <v>5</v>
      </c>
      <c r="B11" s="3" t="s">
        <v>9</v>
      </c>
      <c r="C11" s="4">
        <v>105800</v>
      </c>
      <c r="D11" s="4">
        <v>85698</v>
      </c>
      <c r="E11" s="3" t="s">
        <v>36</v>
      </c>
      <c r="F11" s="16">
        <f t="shared" si="0"/>
        <v>0.81</v>
      </c>
      <c r="G11" s="4" t="s">
        <v>36</v>
      </c>
      <c r="H11" s="3" t="s">
        <v>36</v>
      </c>
      <c r="I11" s="3"/>
      <c r="J11" s="18" t="s">
        <v>55</v>
      </c>
      <c r="K11" s="3" t="s">
        <v>42</v>
      </c>
    </row>
    <row r="12" spans="1:11" ht="27.75" x14ac:dyDescent="0.85">
      <c r="A12" s="1">
        <v>6</v>
      </c>
      <c r="B12" s="3" t="s">
        <v>10</v>
      </c>
      <c r="C12" s="4">
        <v>213300</v>
      </c>
      <c r="D12" s="4">
        <v>193063</v>
      </c>
      <c r="E12" s="3" t="s">
        <v>36</v>
      </c>
      <c r="F12" s="16">
        <f t="shared" si="0"/>
        <v>0.90512423816221288</v>
      </c>
      <c r="G12" s="4">
        <v>10395</v>
      </c>
      <c r="H12" s="4">
        <v>8670</v>
      </c>
      <c r="I12" s="4">
        <v>1725</v>
      </c>
      <c r="J12" s="3" t="s">
        <v>31</v>
      </c>
      <c r="K12" s="3" t="s">
        <v>35</v>
      </c>
    </row>
    <row r="13" spans="1:11" ht="27.75" x14ac:dyDescent="0.85">
      <c r="A13" s="1">
        <v>7</v>
      </c>
      <c r="B13" s="3" t="s">
        <v>11</v>
      </c>
      <c r="C13" s="4">
        <v>189830</v>
      </c>
      <c r="D13" s="4">
        <v>170085</v>
      </c>
      <c r="E13" s="3" t="s">
        <v>36</v>
      </c>
      <c r="F13" s="16">
        <f t="shared" si="0"/>
        <v>0.89598588210504138</v>
      </c>
      <c r="G13" s="4">
        <v>19530</v>
      </c>
      <c r="H13" s="4">
        <v>19530</v>
      </c>
      <c r="I13" s="4">
        <v>19530</v>
      </c>
      <c r="J13" s="3" t="s">
        <v>31</v>
      </c>
      <c r="K13" s="3" t="s">
        <v>65</v>
      </c>
    </row>
    <row r="14" spans="1:11" ht="27.75" x14ac:dyDescent="0.85">
      <c r="A14" s="1">
        <v>8</v>
      </c>
      <c r="B14" s="3" t="s">
        <v>12</v>
      </c>
      <c r="C14" s="4">
        <v>143774</v>
      </c>
      <c r="D14" s="4">
        <v>149604</v>
      </c>
      <c r="E14" s="4">
        <v>5830</v>
      </c>
      <c r="F14" s="16">
        <f t="shared" si="0"/>
        <v>1.0405497516936302</v>
      </c>
      <c r="G14" s="3" t="s">
        <v>36</v>
      </c>
      <c r="H14" s="4">
        <v>145604</v>
      </c>
      <c r="I14" s="4"/>
      <c r="J14" s="3" t="s">
        <v>31</v>
      </c>
      <c r="K14" s="3" t="s">
        <v>61</v>
      </c>
    </row>
    <row r="15" spans="1:11" ht="27.75" x14ac:dyDescent="0.85">
      <c r="A15" s="1">
        <v>9</v>
      </c>
      <c r="B15" s="3" t="s">
        <v>13</v>
      </c>
      <c r="C15" s="4">
        <v>123830</v>
      </c>
      <c r="D15" s="4">
        <v>116343</v>
      </c>
      <c r="E15" s="3" t="s">
        <v>36</v>
      </c>
      <c r="F15" s="16">
        <f t="shared" si="0"/>
        <v>0.93953807639505771</v>
      </c>
      <c r="G15" s="3"/>
      <c r="H15" s="4" t="s">
        <v>36</v>
      </c>
      <c r="I15" s="4"/>
      <c r="J15" s="3" t="s">
        <v>31</v>
      </c>
      <c r="K15" s="3" t="s">
        <v>42</v>
      </c>
    </row>
    <row r="16" spans="1:11" ht="27.75" x14ac:dyDescent="0.85">
      <c r="A16" s="1">
        <v>10</v>
      </c>
      <c r="B16" s="3" t="s">
        <v>14</v>
      </c>
      <c r="C16" s="4">
        <v>58570</v>
      </c>
      <c r="D16" s="4">
        <v>45262</v>
      </c>
      <c r="E16" s="3" t="s">
        <v>36</v>
      </c>
      <c r="F16" s="16">
        <f t="shared" si="0"/>
        <v>0.77278470206590399</v>
      </c>
      <c r="G16" s="3"/>
      <c r="H16" s="3"/>
      <c r="I16" s="3"/>
      <c r="J16" s="3"/>
      <c r="K16" s="3" t="s">
        <v>42</v>
      </c>
    </row>
    <row r="17" spans="1:11" ht="27.75" x14ac:dyDescent="0.85">
      <c r="A17" s="1">
        <v>11</v>
      </c>
      <c r="B17" s="3" t="s">
        <v>15</v>
      </c>
      <c r="C17" s="4">
        <v>29850</v>
      </c>
      <c r="D17" s="4">
        <v>27686</v>
      </c>
      <c r="E17" s="3" t="s">
        <v>36</v>
      </c>
      <c r="F17" s="16">
        <f t="shared" si="0"/>
        <v>0.92750418760469011</v>
      </c>
      <c r="G17" s="3"/>
      <c r="H17" s="3"/>
      <c r="I17" s="3"/>
      <c r="J17" s="3"/>
      <c r="K17" s="3" t="s">
        <v>42</v>
      </c>
    </row>
    <row r="18" spans="1:11" ht="27.75" x14ac:dyDescent="0.85">
      <c r="A18" s="1">
        <v>12</v>
      </c>
      <c r="B18" s="3" t="s">
        <v>16</v>
      </c>
      <c r="C18" s="4">
        <v>25550</v>
      </c>
      <c r="D18" s="4">
        <v>25550</v>
      </c>
      <c r="E18" s="3" t="s">
        <v>36</v>
      </c>
      <c r="F18" s="16">
        <f t="shared" si="0"/>
        <v>1</v>
      </c>
      <c r="G18" s="3" t="s">
        <v>36</v>
      </c>
      <c r="H18" s="3"/>
      <c r="I18" s="3"/>
      <c r="J18" s="3" t="s">
        <v>47</v>
      </c>
      <c r="K18" s="3" t="s">
        <v>42</v>
      </c>
    </row>
    <row r="19" spans="1:11" ht="27.75" x14ac:dyDescent="0.85">
      <c r="A19" s="1">
        <v>13</v>
      </c>
      <c r="B19" s="3" t="s">
        <v>17</v>
      </c>
      <c r="C19" s="4">
        <v>33300</v>
      </c>
      <c r="D19" s="4">
        <v>27219</v>
      </c>
      <c r="E19" s="3" t="s">
        <v>36</v>
      </c>
      <c r="F19" s="16">
        <f t="shared" si="0"/>
        <v>0.81738738738738737</v>
      </c>
      <c r="G19" s="3" t="s">
        <v>36</v>
      </c>
      <c r="H19" s="3" t="s">
        <v>36</v>
      </c>
      <c r="I19" s="3"/>
      <c r="J19" s="3"/>
      <c r="K19" s="3" t="s">
        <v>42</v>
      </c>
    </row>
    <row r="20" spans="1:11" ht="27.75" x14ac:dyDescent="0.85">
      <c r="A20" s="1">
        <v>14</v>
      </c>
      <c r="B20" s="3" t="s">
        <v>18</v>
      </c>
      <c r="C20" s="4">
        <v>75880</v>
      </c>
      <c r="D20" s="4">
        <v>65950</v>
      </c>
      <c r="E20" s="3" t="s">
        <v>36</v>
      </c>
      <c r="F20" s="16">
        <f t="shared" si="0"/>
        <v>0.86913547706905636</v>
      </c>
      <c r="G20" s="3" t="s">
        <v>36</v>
      </c>
      <c r="H20" s="3" t="s">
        <v>36</v>
      </c>
      <c r="I20" s="3"/>
      <c r="J20" s="3"/>
      <c r="K20" s="3" t="s">
        <v>42</v>
      </c>
    </row>
    <row r="21" spans="1:11" ht="27.75" x14ac:dyDescent="0.85">
      <c r="A21" s="1">
        <v>15</v>
      </c>
      <c r="B21" s="3" t="s">
        <v>19</v>
      </c>
      <c r="C21" s="4">
        <v>300000</v>
      </c>
      <c r="D21" s="4">
        <v>234515</v>
      </c>
      <c r="E21" s="3" t="s">
        <v>36</v>
      </c>
      <c r="F21" s="16">
        <f t="shared" si="0"/>
        <v>0.78171666666666662</v>
      </c>
      <c r="G21" s="4" t="s">
        <v>36</v>
      </c>
      <c r="H21" s="4" t="s">
        <v>36</v>
      </c>
      <c r="I21" s="4"/>
      <c r="J21" s="3" t="s">
        <v>56</v>
      </c>
      <c r="K21" s="3" t="s">
        <v>42</v>
      </c>
    </row>
    <row r="22" spans="1:11" ht="27.75" x14ac:dyDescent="0.85">
      <c r="A22" s="1">
        <v>16</v>
      </c>
      <c r="B22" s="3" t="s">
        <v>20</v>
      </c>
      <c r="C22" s="4">
        <v>167500</v>
      </c>
      <c r="D22" s="4">
        <v>90832</v>
      </c>
      <c r="E22" s="3" t="s">
        <v>36</v>
      </c>
      <c r="F22" s="16" t="s">
        <v>66</v>
      </c>
      <c r="G22" s="4">
        <v>60261</v>
      </c>
      <c r="H22" s="4">
        <v>42524</v>
      </c>
      <c r="I22" s="4">
        <v>17737</v>
      </c>
      <c r="J22" s="19" t="s">
        <v>57</v>
      </c>
      <c r="K22" s="3" t="s">
        <v>42</v>
      </c>
    </row>
    <row r="23" spans="1:11" ht="27.75" x14ac:dyDescent="0.85">
      <c r="A23" s="1">
        <v>17</v>
      </c>
      <c r="B23" s="3" t="s">
        <v>21</v>
      </c>
      <c r="C23" s="4">
        <v>210000</v>
      </c>
      <c r="D23" s="4">
        <v>194415</v>
      </c>
      <c r="E23" s="3" t="s">
        <v>36</v>
      </c>
      <c r="F23" s="16">
        <f t="shared" si="0"/>
        <v>0.92578571428571432</v>
      </c>
      <c r="G23" s="3"/>
      <c r="H23" s="3"/>
      <c r="I23" s="3"/>
      <c r="J23" s="3"/>
      <c r="K23" s="3" t="s">
        <v>42</v>
      </c>
    </row>
    <row r="24" spans="1:11" ht="27.75" x14ac:dyDescent="0.85">
      <c r="A24" s="1">
        <v>18</v>
      </c>
      <c r="B24" s="3" t="s">
        <v>22</v>
      </c>
      <c r="C24" s="4">
        <v>120527</v>
      </c>
      <c r="D24" s="4">
        <v>106530</v>
      </c>
      <c r="E24" s="3" t="s">
        <v>36</v>
      </c>
      <c r="F24" s="16">
        <f t="shared" si="0"/>
        <v>0.88386834485219079</v>
      </c>
      <c r="G24" s="4">
        <v>48211</v>
      </c>
      <c r="H24" s="3"/>
      <c r="I24" s="3">
        <v>425</v>
      </c>
      <c r="J24" s="3" t="s">
        <v>31</v>
      </c>
      <c r="K24" s="3" t="s">
        <v>42</v>
      </c>
    </row>
    <row r="25" spans="1:11" ht="27.75" x14ac:dyDescent="0.85">
      <c r="A25" s="1">
        <v>19</v>
      </c>
      <c r="B25" s="3" t="s">
        <v>23</v>
      </c>
      <c r="C25" s="4">
        <v>128393</v>
      </c>
      <c r="D25" s="4">
        <v>111555</v>
      </c>
      <c r="E25" s="3" t="s">
        <v>36</v>
      </c>
      <c r="F25" s="16">
        <f t="shared" si="0"/>
        <v>0.86885577874183173</v>
      </c>
      <c r="G25" s="3"/>
      <c r="H25" s="4" t="s">
        <v>36</v>
      </c>
      <c r="I25" s="4"/>
      <c r="J25" s="18" t="s">
        <v>36</v>
      </c>
      <c r="K25" s="3" t="s">
        <v>42</v>
      </c>
    </row>
    <row r="26" spans="1:11" ht="27.75" x14ac:dyDescent="0.85">
      <c r="A26" s="1">
        <v>20</v>
      </c>
      <c r="B26" s="3" t="s">
        <v>24</v>
      </c>
      <c r="C26" s="4">
        <v>3520</v>
      </c>
      <c r="D26" s="4">
        <v>3049</v>
      </c>
      <c r="E26" s="3" t="s">
        <v>36</v>
      </c>
      <c r="F26" s="16">
        <f t="shared" si="0"/>
        <v>0.86619318181818183</v>
      </c>
      <c r="G26" s="15" t="s">
        <v>36</v>
      </c>
      <c r="H26" s="3" t="s">
        <v>4</v>
      </c>
      <c r="I26" s="3"/>
      <c r="J26" s="3" t="s">
        <v>4</v>
      </c>
      <c r="K26" s="3" t="s">
        <v>67</v>
      </c>
    </row>
    <row r="27" spans="1:11" ht="27.75" x14ac:dyDescent="0.85">
      <c r="A27" s="1">
        <v>21</v>
      </c>
      <c r="B27" s="3" t="s">
        <v>25</v>
      </c>
      <c r="C27" s="4">
        <v>13300</v>
      </c>
      <c r="D27" s="4">
        <v>11453</v>
      </c>
      <c r="E27" s="3" t="s">
        <v>36</v>
      </c>
      <c r="F27" s="16">
        <f t="shared" si="0"/>
        <v>0.86112781954887219</v>
      </c>
      <c r="G27" s="3" t="s">
        <v>36</v>
      </c>
      <c r="H27" s="3" t="s">
        <v>36</v>
      </c>
      <c r="I27" s="3"/>
      <c r="J27" s="3"/>
      <c r="K27" s="3" t="s">
        <v>67</v>
      </c>
    </row>
    <row r="28" spans="1:11" ht="27.75" x14ac:dyDescent="0.85">
      <c r="A28" s="1">
        <v>22</v>
      </c>
      <c r="B28" s="3" t="s">
        <v>26</v>
      </c>
      <c r="C28" s="4">
        <v>10200</v>
      </c>
      <c r="D28" s="4">
        <v>6142</v>
      </c>
      <c r="E28" s="3" t="s">
        <v>36</v>
      </c>
      <c r="F28" s="16">
        <f t="shared" si="0"/>
        <v>0.60215686274509805</v>
      </c>
      <c r="G28" s="3" t="s">
        <v>36</v>
      </c>
      <c r="H28" s="3" t="s">
        <v>36</v>
      </c>
      <c r="I28" s="3"/>
      <c r="J28" s="3"/>
      <c r="K28" s="3" t="s">
        <v>63</v>
      </c>
    </row>
    <row r="29" spans="1:11" ht="27.75" x14ac:dyDescent="0.85">
      <c r="A29" s="1">
        <v>23</v>
      </c>
      <c r="B29" s="3" t="s">
        <v>27</v>
      </c>
      <c r="C29" s="4">
        <v>38513</v>
      </c>
      <c r="D29" s="4">
        <v>30342</v>
      </c>
      <c r="E29" s="3" t="s">
        <v>36</v>
      </c>
      <c r="F29" s="16">
        <f t="shared" si="0"/>
        <v>0.78783787292602503</v>
      </c>
      <c r="G29" s="3"/>
      <c r="H29" s="3"/>
      <c r="I29" s="3"/>
      <c r="J29" s="3"/>
      <c r="K29" s="3" t="s">
        <v>64</v>
      </c>
    </row>
    <row r="30" spans="1:11" ht="27.75" x14ac:dyDescent="0.85">
      <c r="A30" s="1">
        <v>24</v>
      </c>
      <c r="B30" s="3" t="s">
        <v>30</v>
      </c>
      <c r="C30" s="4">
        <v>3900</v>
      </c>
      <c r="D30" s="4">
        <v>3021</v>
      </c>
      <c r="E30" s="3" t="s">
        <v>36</v>
      </c>
      <c r="F30" s="16">
        <f t="shared" si="0"/>
        <v>0.77461538461538459</v>
      </c>
      <c r="G30" s="3">
        <v>40</v>
      </c>
      <c r="H30" s="3">
        <v>40</v>
      </c>
      <c r="I30" s="3"/>
      <c r="J30" s="3" t="s">
        <v>70</v>
      </c>
      <c r="K30" s="3" t="s">
        <v>71</v>
      </c>
    </row>
    <row r="31" spans="1:11" ht="27.75" x14ac:dyDescent="0.85">
      <c r="A31" s="1">
        <v>25</v>
      </c>
      <c r="B31" s="3" t="s">
        <v>28</v>
      </c>
      <c r="C31" s="4">
        <v>8500</v>
      </c>
      <c r="D31" s="4">
        <v>8585</v>
      </c>
      <c r="E31" s="4">
        <v>85</v>
      </c>
      <c r="F31" s="16">
        <f t="shared" si="0"/>
        <v>1.01</v>
      </c>
      <c r="G31" s="3"/>
      <c r="H31" s="3" t="s">
        <v>53</v>
      </c>
      <c r="I31" s="3"/>
      <c r="J31" s="3" t="s">
        <v>41</v>
      </c>
      <c r="K31" s="3" t="s">
        <v>40</v>
      </c>
    </row>
    <row r="32" spans="1:11" ht="27.75" x14ac:dyDescent="0.85">
      <c r="A32" s="12" t="s">
        <v>4</v>
      </c>
      <c r="B32" s="10" t="s">
        <v>29</v>
      </c>
      <c r="C32" s="11">
        <f>SUM(C7:C31)</f>
        <v>3031337</v>
      </c>
      <c r="D32" s="11">
        <f t="shared" ref="D32" si="1">SUM(D7:D31)</f>
        <v>2529686</v>
      </c>
      <c r="E32" s="11">
        <f>SUM(E7:E31)</f>
        <v>7491</v>
      </c>
      <c r="F32" s="17">
        <f>SUM(F7:F31)/25</f>
        <v>0.8304878985598152</v>
      </c>
      <c r="G32" s="11">
        <f t="shared" ref="G32:H32" si="2">SUM(G7:G31)</f>
        <v>193244</v>
      </c>
      <c r="H32" s="11">
        <f t="shared" si="2"/>
        <v>264631</v>
      </c>
      <c r="I32" s="11">
        <v>105815</v>
      </c>
      <c r="J32" s="10"/>
      <c r="K32" s="13"/>
    </row>
    <row r="34" spans="1:11" ht="27" x14ac:dyDescent="0.8">
      <c r="A34" s="34" t="s">
        <v>73</v>
      </c>
      <c r="B34" s="34"/>
      <c r="C34" s="34"/>
      <c r="D34" s="34"/>
      <c r="E34" s="34"/>
      <c r="F34" s="34"/>
      <c r="G34" s="2"/>
      <c r="H34" s="2"/>
      <c r="I34" s="2"/>
      <c r="J34" s="7" t="s">
        <v>54</v>
      </c>
      <c r="K34" s="2"/>
    </row>
    <row r="35" spans="1:11" ht="25.5" x14ac:dyDescent="0.7">
      <c r="C35" s="6" t="s">
        <v>37</v>
      </c>
      <c r="D35" s="6"/>
      <c r="J35" s="6" t="s">
        <v>38</v>
      </c>
      <c r="K35" s="6"/>
    </row>
    <row r="36" spans="1:11" ht="25.5" x14ac:dyDescent="0.7">
      <c r="C36" s="6" t="s">
        <v>39</v>
      </c>
      <c r="D36" s="6"/>
    </row>
    <row r="37" spans="1:11" ht="25.5" x14ac:dyDescent="0.7">
      <c r="C37" s="6"/>
      <c r="D37" s="6"/>
      <c r="J37" s="5"/>
      <c r="K37" s="5"/>
    </row>
    <row r="38" spans="1:11" ht="25.5" x14ac:dyDescent="0.7">
      <c r="C38" s="6"/>
      <c r="D38" s="6"/>
      <c r="J38" s="26" t="s">
        <v>44</v>
      </c>
      <c r="K38" s="26"/>
    </row>
    <row r="39" spans="1:11" ht="25.5" x14ac:dyDescent="0.7">
      <c r="C39" s="6"/>
      <c r="D39" s="6"/>
      <c r="J39" s="5"/>
      <c r="K39" s="5"/>
    </row>
    <row r="40" spans="1:11" ht="25.5" x14ac:dyDescent="0.7">
      <c r="C40" s="27" t="s">
        <v>43</v>
      </c>
      <c r="D40" s="27"/>
    </row>
  </sheetData>
  <mergeCells count="14">
    <mergeCell ref="A4:K4"/>
    <mergeCell ref="A1:K1"/>
    <mergeCell ref="A2:K2"/>
    <mergeCell ref="J38:K38"/>
    <mergeCell ref="C40:D40"/>
    <mergeCell ref="K5:K6"/>
    <mergeCell ref="J5:J6"/>
    <mergeCell ref="A5:A6"/>
    <mergeCell ref="B5:B6"/>
    <mergeCell ref="C5:E5"/>
    <mergeCell ref="F5:F6"/>
    <mergeCell ref="H5:H6"/>
    <mergeCell ref="G5:G6"/>
    <mergeCell ref="I5:I6"/>
  </mergeCells>
  <printOptions horizontalCentered="1"/>
  <pageMargins left="0" right="0" top="0" bottom="0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U-ser</dc:creator>
  <cp:lastModifiedBy>U-ser</cp:lastModifiedBy>
  <cp:lastPrinted>2026-07-23T10:57:15Z</cp:lastPrinted>
  <dcterms:created xsi:type="dcterms:W3CDTF">2026-07-17T12:02:46Z</dcterms:created>
  <dcterms:modified xsi:type="dcterms:W3CDTF">2026-07-26T12:06:38Z</dcterms:modified>
</cp:coreProperties>
</file>